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f237e831f26750/Fantasy/"/>
    </mc:Choice>
  </mc:AlternateContent>
  <xr:revisionPtr revIDLastSave="890" documentId="8_{88CC661F-CCD9-4A51-8266-56BBE17AA9E6}" xr6:coauthVersionLast="47" xr6:coauthVersionMax="47" xr10:uidLastSave="{4D3022BA-F284-43AC-B2B9-42FD6A394D39}"/>
  <bookViews>
    <workbookView xWindow="-110" yWindow="-110" windowWidth="19420" windowHeight="11500" xr2:uid="{A29E1835-958C-4353-954C-D756CD020572}"/>
  </bookViews>
  <sheets>
    <sheet name="Stats" sheetId="1" r:id="rId1"/>
    <sheet name="Schedule" sheetId="2" r:id="rId2"/>
    <sheet name="Poin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1" l="1"/>
  <c r="J13" i="1"/>
  <c r="I13" i="1"/>
  <c r="H13" i="1"/>
  <c r="G13" i="1"/>
  <c r="K12" i="1"/>
  <c r="J12" i="1"/>
  <c r="I12" i="1"/>
  <c r="H12" i="1"/>
  <c r="G12" i="1"/>
  <c r="K11" i="1"/>
  <c r="J11" i="1"/>
  <c r="I11" i="1"/>
  <c r="H11" i="1"/>
  <c r="G11" i="1"/>
  <c r="K10" i="1"/>
  <c r="J10" i="1"/>
  <c r="I10" i="1"/>
  <c r="H10" i="1"/>
  <c r="G10" i="1"/>
  <c r="K9" i="1"/>
  <c r="J9" i="1"/>
  <c r="I9" i="1"/>
  <c r="H9" i="1"/>
  <c r="K8" i="1"/>
  <c r="J8" i="1"/>
  <c r="I8" i="1"/>
  <c r="H8" i="1"/>
  <c r="G8" i="1"/>
  <c r="K7" i="1"/>
  <c r="J7" i="1"/>
  <c r="I7" i="1"/>
  <c r="H7" i="1"/>
  <c r="G7" i="1"/>
  <c r="K5" i="1"/>
  <c r="J5" i="1"/>
  <c r="I5" i="1"/>
  <c r="H5" i="1"/>
  <c r="G5" i="1"/>
  <c r="K4" i="1"/>
  <c r="J4" i="1"/>
  <c r="I4" i="1"/>
  <c r="H4" i="1"/>
  <c r="G4" i="1"/>
  <c r="J3" i="1"/>
  <c r="K3" i="1"/>
  <c r="I3" i="1"/>
  <c r="H3" i="1"/>
  <c r="G3" i="1"/>
  <c r="K2" i="1"/>
  <c r="J2" i="1"/>
  <c r="I2" i="1"/>
  <c r="H2" i="1"/>
  <c r="G2" i="1"/>
  <c r="K6" i="1"/>
  <c r="J6" i="1"/>
  <c r="I6" i="1"/>
  <c r="H6" i="1"/>
  <c r="C12" i="1"/>
  <c r="C13" i="1"/>
  <c r="C11" i="1"/>
  <c r="E11" i="1" s="1"/>
  <c r="C10" i="1"/>
  <c r="E10" i="1" s="1"/>
  <c r="C9" i="1"/>
  <c r="C8" i="1"/>
  <c r="E8" i="1" s="1"/>
  <c r="C7" i="1"/>
  <c r="C6" i="1"/>
  <c r="C5" i="1"/>
  <c r="C4" i="1"/>
  <c r="E4" i="1" s="1"/>
  <c r="C3" i="1"/>
  <c r="C2" i="1"/>
  <c r="G6" i="1"/>
  <c r="E3" i="1"/>
  <c r="E5" i="1"/>
  <c r="E6" i="1"/>
  <c r="E7" i="1"/>
  <c r="E9" i="1"/>
  <c r="E12" i="1"/>
  <c r="E13" i="1"/>
  <c r="E2" i="1"/>
</calcChain>
</file>

<file path=xl/sharedStrings.xml><?xml version="1.0" encoding="utf-8"?>
<sst xmlns="http://schemas.openxmlformats.org/spreadsheetml/2006/main" count="51" uniqueCount="27">
  <si>
    <t>Team</t>
  </si>
  <si>
    <t>Driscoll</t>
  </si>
  <si>
    <t>Williams</t>
  </si>
  <si>
    <t>Sawyer</t>
  </si>
  <si>
    <t>Zorn</t>
  </si>
  <si>
    <t>Casta</t>
  </si>
  <si>
    <t>Andre</t>
  </si>
  <si>
    <t>Vagmi</t>
  </si>
  <si>
    <t>Beloff</t>
  </si>
  <si>
    <t>Croteau</t>
  </si>
  <si>
    <t>Pletter</t>
  </si>
  <si>
    <t>Alperin</t>
  </si>
  <si>
    <t>Mehar</t>
  </si>
  <si>
    <t>Wins</t>
  </si>
  <si>
    <t>TeamRank</t>
  </si>
  <si>
    <t>Week</t>
  </si>
  <si>
    <t>Team1</t>
  </si>
  <si>
    <t>Team2</t>
  </si>
  <si>
    <t>Points</t>
  </si>
  <si>
    <t>GP</t>
  </si>
  <si>
    <t>MeanPF</t>
  </si>
  <si>
    <t>PF</t>
  </si>
  <si>
    <t>Week 13</t>
  </si>
  <si>
    <t>Week 14</t>
  </si>
  <si>
    <t>R1</t>
  </si>
  <si>
    <t>R2</t>
  </si>
  <si>
    <t>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</si>
</sst>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7F2BD-4668-4F2E-A784-0621D0D0FED9}">
  <dimension ref="A1:K13"/>
  <sheetViews>
    <sheetView tabSelected="1" workbookViewId="0">
      <selection activeCell="G16" sqref="G16"/>
    </sheetView>
  </sheetViews>
  <sheetFormatPr defaultRowHeight="14.5" x14ac:dyDescent="0.35"/>
  <cols>
    <col min="1" max="1" width="8.90625" customWidth="1"/>
    <col min="6" max="6" width="9.26953125" bestFit="1" customWidth="1"/>
  </cols>
  <sheetData>
    <row r="1" spans="1:11" x14ac:dyDescent="0.35">
      <c r="A1" t="s">
        <v>0</v>
      </c>
      <c r="B1" t="s">
        <v>13</v>
      </c>
      <c r="C1" t="s">
        <v>21</v>
      </c>
      <c r="D1" t="s">
        <v>19</v>
      </c>
      <c r="E1" t="s">
        <v>20</v>
      </c>
      <c r="F1" t="s">
        <v>14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</row>
    <row r="2" spans="1:11" x14ac:dyDescent="0.35">
      <c r="A2" t="s">
        <v>1</v>
      </c>
      <c r="B2">
        <v>11</v>
      </c>
      <c r="C2">
        <f>1713.2+167.56</f>
        <v>1880.76</v>
      </c>
      <c r="D2">
        <v>12</v>
      </c>
      <c r="E2">
        <f>C2/D2</f>
        <v>156.72999999999999</v>
      </c>
      <c r="F2">
        <v>10</v>
      </c>
      <c r="G2">
        <f>19.39+15.8+24.14+22.36+20.58+10.95+19.12+13.51+6+8.83</f>
        <v>160.68</v>
      </c>
      <c r="H2">
        <f>19.4+22.8+8+23.44+22.39+10.71+8.36+13.62+5.04+8.68</f>
        <v>142.44</v>
      </c>
      <c r="I2">
        <f>19.34+16.68+28.14+12.77+24.25+10.13+18.16+20.33+6.59+8.77</f>
        <v>165.16000000000003</v>
      </c>
      <c r="J2">
        <f>18.35+24.4+21.96+13.54+22.78+9.78+19.33+20.22+6.94+8.31</f>
        <v>165.60999999999999</v>
      </c>
      <c r="K2">
        <f>22.23+20.07+27.7+15.19+23.51+11.58+16.7+20.44+8.77+5</f>
        <v>171.19</v>
      </c>
    </row>
    <row r="3" spans="1:11" x14ac:dyDescent="0.35">
      <c r="A3" t="s">
        <v>2</v>
      </c>
      <c r="B3">
        <v>8</v>
      </c>
      <c r="C3">
        <f>1431.14+134.92</f>
        <v>1566.0600000000002</v>
      </c>
      <c r="D3">
        <v>12</v>
      </c>
      <c r="E3">
        <f t="shared" ref="E3:E13" si="0">C3/D3</f>
        <v>130.50500000000002</v>
      </c>
      <c r="F3">
        <v>7.3</v>
      </c>
      <c r="G3">
        <f>20.78+17.95+15.12+19.04+14.37+13.28+11.25+7+4.68+7.56</f>
        <v>131.03</v>
      </c>
      <c r="H3">
        <f>25.95+22.7+14.97+18.72+13.94+13.98+13.44+8.13+4.96+8.29</f>
        <v>145.08000000000001</v>
      </c>
      <c r="I3">
        <f>20.53+17.56+16.52+17.61+14.05+13.86+11.2+13.06+6.84+8.05</f>
        <v>139.28</v>
      </c>
      <c r="J3">
        <f>19.56+18.11+16.55+17.13+16.13+15.36+13.8+11+6+8.16</f>
        <v>141.79999999999998</v>
      </c>
      <c r="K3">
        <f>20.98+17.64+18.81+20+14.95+13.85+10.74+13.41+8.33+7.96</f>
        <v>146.67000000000002</v>
      </c>
    </row>
    <row r="4" spans="1:11" x14ac:dyDescent="0.35">
      <c r="A4" t="s">
        <v>3</v>
      </c>
      <c r="B4">
        <v>6</v>
      </c>
      <c r="C4">
        <f>1342.96+155.92</f>
        <v>1498.88</v>
      </c>
      <c r="D4">
        <v>12</v>
      </c>
      <c r="E4">
        <f t="shared" si="0"/>
        <v>124.90666666666668</v>
      </c>
      <c r="F4">
        <v>5.7</v>
      </c>
      <c r="G4">
        <f>21.34+20.37+16.71+13.71+13.31+11.45+10.59+11.4+6.79+9.14</f>
        <v>134.81</v>
      </c>
      <c r="H4">
        <f>17.39+22.93+8.64+11.77+14.1+9.46+10.04+11.66+6+7</f>
        <v>118.98999999999998</v>
      </c>
      <c r="I4">
        <f>21+18.46+14.36+11.79+13.95+10.88+10.22+12.5+6+8.81</f>
        <v>127.97</v>
      </c>
      <c r="J4">
        <f>17.24+20.8+12.98+11.74+15.67+9.61+9.65+12.11+6+8.42</f>
        <v>124.22</v>
      </c>
      <c r="K4">
        <f>16.56+20.66+13.83+12.77+13.97+9.52+9.16+13.13+6+8.76</f>
        <v>124.35999999999999</v>
      </c>
    </row>
    <row r="5" spans="1:11" x14ac:dyDescent="0.35">
      <c r="A5" t="s">
        <v>4</v>
      </c>
      <c r="B5">
        <v>7</v>
      </c>
      <c r="C5">
        <f>1392.8+101.86</f>
        <v>1494.6599999999999</v>
      </c>
      <c r="D5">
        <v>12</v>
      </c>
      <c r="E5">
        <f t="shared" si="0"/>
        <v>124.55499999999999</v>
      </c>
      <c r="F5">
        <v>5.8</v>
      </c>
      <c r="G5">
        <f>17.41+24.5+10.75+20.6+10.93+8.67+12.21+11.75+6+8.49</f>
        <v>131.31</v>
      </c>
      <c r="H5">
        <f>17.08+23.91+11.5+20.52+13.58+8.75+9.88+10.99+6+8</f>
        <v>130.20999999999998</v>
      </c>
      <c r="I5">
        <f>16.91+22.82+11.49+20.89+12.56+8.23+10.74+10.01+6+9.3</f>
        <v>128.95000000000002</v>
      </c>
      <c r="J5">
        <f>17.49+27.9+14.11+19.56+11.7+8.45+11.06+11.1+6.68+8.76</f>
        <v>136.81</v>
      </c>
      <c r="K5">
        <f>20.06+25.07+15.39+20.55+12.23+11.29+9.6+10.35+8.11+9.17</f>
        <v>141.81999999999996</v>
      </c>
    </row>
    <row r="6" spans="1:11" x14ac:dyDescent="0.35">
      <c r="A6" t="s">
        <v>5</v>
      </c>
      <c r="B6">
        <v>7</v>
      </c>
      <c r="C6">
        <f>1290.82+157.76</f>
        <v>1448.58</v>
      </c>
      <c r="D6">
        <v>12</v>
      </c>
      <c r="E6">
        <f t="shared" si="0"/>
        <v>120.71499999999999</v>
      </c>
      <c r="F6">
        <v>5</v>
      </c>
      <c r="G6">
        <f>22.26+16.77+15.19+15.91+13.11+11.05+11.57+13.23+9.04+8.73</f>
        <v>136.85999999999999</v>
      </c>
      <c r="H6">
        <f>19.76+16.87+13.47+15.08+12.92+9.75+11.84+8.89+5.14+8.22</f>
        <v>121.94000000000001</v>
      </c>
      <c r="I6" s="1">
        <f>21.37+14.26+13.12+15.32+13.465+9.88+12.96+13.55+8.41+8.66</f>
        <v>130.995</v>
      </c>
      <c r="J6">
        <f>24.57+15.39+15.35+17.8+13.7+11.47+13.35+13.54+6+8.72</f>
        <v>139.88999999999999</v>
      </c>
      <c r="K6">
        <f>21.83+14.85+13.11+16.21+13.91+10.44+11.08+12.11+6+8.43</f>
        <v>127.97</v>
      </c>
    </row>
    <row r="7" spans="1:11" x14ac:dyDescent="0.35">
      <c r="A7" t="s">
        <v>6</v>
      </c>
      <c r="B7">
        <v>8</v>
      </c>
      <c r="C7">
        <f>1501.62+135.76</f>
        <v>1637.3799999999999</v>
      </c>
      <c r="D7">
        <v>12</v>
      </c>
      <c r="E7">
        <f t="shared" si="0"/>
        <v>136.44833333333332</v>
      </c>
      <c r="F7">
        <v>7.7</v>
      </c>
      <c r="G7">
        <f>22.36+10.52+20.3+19.97+11.54+17.37+14.15+13.46+6+9.06</f>
        <v>144.73000000000002</v>
      </c>
      <c r="H7">
        <f>17+12.01+20.83+19.6+10.41+15.85+13.3+13.74+6+8.5</f>
        <v>137.23999999999998</v>
      </c>
      <c r="I7">
        <f>21.04+9.41+19.58+15.4+18.43+15.29+11.52+12.78+5.4+8.88</f>
        <v>137.72999999999999</v>
      </c>
      <c r="J7">
        <f>19.34+10.78+23.72+17.88+13.65+16.86+11.77+11.19+6+8.4</f>
        <v>139.59</v>
      </c>
      <c r="K7">
        <f>19.57+10.66+21.75+13.63+21.09+18.56+13.59+12.43+5.7+8.2</f>
        <v>145.17999999999998</v>
      </c>
    </row>
    <row r="8" spans="1:11" x14ac:dyDescent="0.35">
      <c r="A8" t="s">
        <v>7</v>
      </c>
      <c r="B8">
        <v>5</v>
      </c>
      <c r="C8">
        <f>1453.42+100.48</f>
        <v>1553.9</v>
      </c>
      <c r="D8">
        <v>12</v>
      </c>
      <c r="E8">
        <f t="shared" si="0"/>
        <v>129.49166666666667</v>
      </c>
      <c r="F8">
        <v>7</v>
      </c>
      <c r="G8">
        <f>21.64+17.74+12.66+18.12+11.83+8.07+11.56+10.57+6.01+8.07</f>
        <v>126.27000000000001</v>
      </c>
      <c r="H8">
        <f>17.37+15.45+16.07+15.56+12.88+7.9+17.18+12.35+6+7.96</f>
        <v>128.72</v>
      </c>
      <c r="I8">
        <f>18.87+16.1+16.48+16.04+11.66+8.08+12.28+18.73+6+8.28</f>
        <v>132.52000000000001</v>
      </c>
      <c r="J8">
        <f>21.04+18.33+15.79+17.57+11.65+8.15+11.33+18.19+5.16+8.4</f>
        <v>135.60999999999999</v>
      </c>
      <c r="K8">
        <f>17.3+16.25+16.51+15.54+11.77+8.38+12.59+17.23+7.73+8.02</f>
        <v>131.32</v>
      </c>
    </row>
    <row r="9" spans="1:11" x14ac:dyDescent="0.35">
      <c r="A9" t="s">
        <v>8</v>
      </c>
      <c r="B9">
        <v>5</v>
      </c>
      <c r="C9">
        <f>1338.24+111.78</f>
        <v>1450.02</v>
      </c>
      <c r="D9">
        <v>12</v>
      </c>
      <c r="E9">
        <f t="shared" si="0"/>
        <v>120.83499999999999</v>
      </c>
      <c r="F9">
        <v>4.4000000000000004</v>
      </c>
      <c r="G9">
        <v>123.73</v>
      </c>
      <c r="H9">
        <f>13.92+12.67+10.45+13.86+9.99+8.49+9.79+6.37+8.38</f>
        <v>93.919999999999987</v>
      </c>
      <c r="I9">
        <f>13.51+14.02+14.24+15.68+14.02+10.23+9.22+11.02+5.07+8.77</f>
        <v>115.77999999999999</v>
      </c>
      <c r="J9">
        <f>17.19+12.82+11.79+13.59+16.29+11.28+10.55+10.27+6+8.52</f>
        <v>118.3</v>
      </c>
      <c r="K9">
        <f>20.02+12.33+12.11+13.53+14.9+10.01+9.77+10.56+6.72+8.16</f>
        <v>118.11</v>
      </c>
    </row>
    <row r="10" spans="1:11" x14ac:dyDescent="0.35">
      <c r="A10" t="s">
        <v>9</v>
      </c>
      <c r="B10">
        <v>4</v>
      </c>
      <c r="C10">
        <f>1496.84+116.52</f>
        <v>1613.36</v>
      </c>
      <c r="D10">
        <v>12</v>
      </c>
      <c r="E10">
        <f t="shared" si="0"/>
        <v>134.44666666666666</v>
      </c>
      <c r="F10">
        <v>8.1</v>
      </c>
      <c r="G10">
        <f>17.95+20.17+12.34+21.53+15.1+14.11+12.91+13.1+6+8.84</f>
        <v>142.04999999999998</v>
      </c>
      <c r="H10">
        <f>16.92+16.3+14.16+21.19+17.87+8+11.91+13.1+6.86+8.44</f>
        <v>134.75</v>
      </c>
      <c r="I10">
        <f>18.46+19.33+11.96+20.54+17.35+15.39+12.53+14.32+6+8.3</f>
        <v>144.18</v>
      </c>
      <c r="J10">
        <f>19.1+15.99+11.77+21.66+16.39+15.67+12.5+14.69+6+8.81</f>
        <v>142.57999999999998</v>
      </c>
      <c r="K10">
        <f>19.25+14.92+12.95+21.01+16.38+15.75+12.64+12.3+6.75+8.26</f>
        <v>140.20999999999998</v>
      </c>
    </row>
    <row r="11" spans="1:11" x14ac:dyDescent="0.35">
      <c r="A11" t="s">
        <v>10</v>
      </c>
      <c r="B11">
        <v>5</v>
      </c>
      <c r="C11">
        <f>1413.86+139.64</f>
        <v>1553.5</v>
      </c>
      <c r="D11">
        <v>12</v>
      </c>
      <c r="E11">
        <f t="shared" si="0"/>
        <v>129.45833333333334</v>
      </c>
      <c r="F11">
        <v>7.7</v>
      </c>
      <c r="G11">
        <f>18.84+15.67+20.71+16.44+11.85+14.56+14.62+15.53+5.7+8.47</f>
        <v>142.38999999999999</v>
      </c>
      <c r="H11">
        <f>15.35+13.75+18.82+16.7+11.78+14.04+16.61+12.45+5.98+8.27</f>
        <v>133.75</v>
      </c>
      <c r="I11">
        <f>24.14+14.49+20.8+15.89+10.8+14.93+16.17+12.06+5.48+8.54</f>
        <v>143.29999999999998</v>
      </c>
      <c r="J11">
        <f>20.43+13.92+20.68+15.3+10.41+13.95+17.42+12.23+6+7.76</f>
        <v>138.1</v>
      </c>
      <c r="K11">
        <f>19.97+20.23+18.04+14.95+11.86+16.12+17.44+11.62+6+8.09</f>
        <v>144.32</v>
      </c>
    </row>
    <row r="12" spans="1:11" x14ac:dyDescent="0.35">
      <c r="A12" t="s">
        <v>11</v>
      </c>
      <c r="B12">
        <v>3</v>
      </c>
      <c r="C12">
        <f>1314.5+114.22</f>
        <v>1428.72</v>
      </c>
      <c r="D12">
        <v>12</v>
      </c>
      <c r="E12">
        <f t="shared" si="0"/>
        <v>119.06</v>
      </c>
      <c r="F12">
        <v>5.3</v>
      </c>
      <c r="G12">
        <f>19.37+12.77+14.03+16.79+10.24+7.04+13.89+12.5+5.25+9.14</f>
        <v>121.02000000000001</v>
      </c>
      <c r="H12">
        <f>18.89+16.89+14.2+16.7+10.16+8.44+11.09+10.52+5.32+9.17</f>
        <v>121.38000000000001</v>
      </c>
      <c r="I12">
        <f>19.49+15.72+13.37+16.99+10.69+8.14+14.54+15.18+8.01+9.33</f>
        <v>131.46</v>
      </c>
      <c r="J12">
        <f>16.96+13.3+12.25+15.85+10.12+7.64+15.31+16.84+9.72+9.21</f>
        <v>127.20000000000002</v>
      </c>
      <c r="K12">
        <f>18.95+13+14.18+16.75+10.08+7.64+13.96+13.9+7.85+9.54</f>
        <v>125.85</v>
      </c>
    </row>
    <row r="13" spans="1:11" x14ac:dyDescent="0.35">
      <c r="A13" t="s">
        <v>12</v>
      </c>
      <c r="B13">
        <v>3</v>
      </c>
      <c r="C13">
        <f>1237.44+84.24</f>
        <v>1321.68</v>
      </c>
      <c r="D13">
        <v>12</v>
      </c>
      <c r="E13">
        <f t="shared" si="0"/>
        <v>110.14</v>
      </c>
      <c r="F13">
        <v>5.6</v>
      </c>
      <c r="G13">
        <f>17.22+14.95+11.82+13.69+15.88+8.91+13.58+14.01+5.86+8.36</f>
        <v>124.28</v>
      </c>
      <c r="H13">
        <f>18.42+12.61+11.62+13.56+15.94+9.1+13.72+9.75+6+8.4</f>
        <v>119.12</v>
      </c>
      <c r="I13">
        <f>17.71+13.97+14.2+14.02+15.48+8.63+13.54+13.05+6+8.37</f>
        <v>124.96999999999998</v>
      </c>
      <c r="J13">
        <f>21.63+10.85+13.58+14.6+14.69+8.29+13.26+14.14+6+8.3</f>
        <v>125.33999999999999</v>
      </c>
      <c r="K13">
        <f>18.79+12.12+12.83+16.17+16.04+8.07+12.88+14.48+6+8.27</f>
        <v>125.64999999999998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4DA19-316A-4B7A-8D76-D502CD1189E8}">
  <dimension ref="A1:C13"/>
  <sheetViews>
    <sheetView workbookViewId="0">
      <selection activeCell="F16" sqref="F16"/>
    </sheetView>
  </sheetViews>
  <sheetFormatPr defaultRowHeight="14.5" x14ac:dyDescent="0.35"/>
  <sheetData>
    <row r="1" spans="1:3" x14ac:dyDescent="0.35">
      <c r="A1" t="s">
        <v>15</v>
      </c>
      <c r="B1" t="s">
        <v>16</v>
      </c>
      <c r="C1" t="s">
        <v>17</v>
      </c>
    </row>
    <row r="2" spans="1:3" x14ac:dyDescent="0.35">
      <c r="A2">
        <v>13</v>
      </c>
      <c r="B2" t="s">
        <v>5</v>
      </c>
      <c r="C2" t="s">
        <v>12</v>
      </c>
    </row>
    <row r="3" spans="1:3" x14ac:dyDescent="0.35">
      <c r="A3">
        <v>13</v>
      </c>
      <c r="B3" t="s">
        <v>4</v>
      </c>
      <c r="C3" t="s">
        <v>2</v>
      </c>
    </row>
    <row r="4" spans="1:3" x14ac:dyDescent="0.35">
      <c r="A4">
        <v>13</v>
      </c>
      <c r="B4" t="s">
        <v>8</v>
      </c>
      <c r="C4" t="s">
        <v>11</v>
      </c>
    </row>
    <row r="5" spans="1:3" x14ac:dyDescent="0.35">
      <c r="A5">
        <v>13</v>
      </c>
      <c r="B5" t="s">
        <v>3</v>
      </c>
      <c r="C5" t="s">
        <v>10</v>
      </c>
    </row>
    <row r="6" spans="1:3" x14ac:dyDescent="0.35">
      <c r="A6">
        <v>13</v>
      </c>
      <c r="B6" t="s">
        <v>9</v>
      </c>
      <c r="C6" t="s">
        <v>7</v>
      </c>
    </row>
    <row r="7" spans="1:3" x14ac:dyDescent="0.35">
      <c r="A7">
        <v>13</v>
      </c>
      <c r="B7" t="s">
        <v>1</v>
      </c>
      <c r="C7" t="s">
        <v>6</v>
      </c>
    </row>
    <row r="8" spans="1:3" x14ac:dyDescent="0.35">
      <c r="A8">
        <v>14</v>
      </c>
      <c r="B8" t="s">
        <v>5</v>
      </c>
      <c r="C8" t="s">
        <v>1</v>
      </c>
    </row>
    <row r="9" spans="1:3" x14ac:dyDescent="0.35">
      <c r="A9">
        <v>14</v>
      </c>
      <c r="B9" t="s">
        <v>6</v>
      </c>
      <c r="C9" t="s">
        <v>4</v>
      </c>
    </row>
    <row r="10" spans="1:3" x14ac:dyDescent="0.35">
      <c r="A10">
        <v>14</v>
      </c>
      <c r="B10" t="s">
        <v>3</v>
      </c>
      <c r="C10" t="s">
        <v>7</v>
      </c>
    </row>
    <row r="11" spans="1:3" x14ac:dyDescent="0.35">
      <c r="A11">
        <v>14</v>
      </c>
      <c r="B11" t="s">
        <v>10</v>
      </c>
      <c r="C11" t="s">
        <v>11</v>
      </c>
    </row>
    <row r="12" spans="1:3" x14ac:dyDescent="0.35">
      <c r="A12">
        <v>14</v>
      </c>
      <c r="B12" t="s">
        <v>12</v>
      </c>
      <c r="C12" t="s">
        <v>9</v>
      </c>
    </row>
    <row r="13" spans="1:3" x14ac:dyDescent="0.35">
      <c r="A13">
        <v>14</v>
      </c>
      <c r="B13" t="s">
        <v>2</v>
      </c>
      <c r="C13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18282-1986-474B-A23B-31B29600C102}">
  <dimension ref="A1:A133"/>
  <sheetViews>
    <sheetView topLeftCell="A113" workbookViewId="0">
      <selection activeCell="C131" sqref="C131"/>
    </sheetView>
  </sheetViews>
  <sheetFormatPr defaultRowHeight="14.5" x14ac:dyDescent="0.35"/>
  <sheetData>
    <row r="1" spans="1:1" x14ac:dyDescent="0.35">
      <c r="A1" t="s">
        <v>18</v>
      </c>
    </row>
    <row r="2" spans="1:1" x14ac:dyDescent="0.35">
      <c r="A2">
        <v>90.24</v>
      </c>
    </row>
    <row r="3" spans="1:1" x14ac:dyDescent="0.35">
      <c r="A3">
        <v>114.02</v>
      </c>
    </row>
    <row r="4" spans="1:1" x14ac:dyDescent="0.35">
      <c r="A4">
        <v>86.02</v>
      </c>
    </row>
    <row r="5" spans="1:1" x14ac:dyDescent="0.35">
      <c r="A5">
        <v>92.88</v>
      </c>
    </row>
    <row r="6" spans="1:1" x14ac:dyDescent="0.35">
      <c r="A6">
        <v>134.08000000000001</v>
      </c>
    </row>
    <row r="7" spans="1:1" x14ac:dyDescent="0.35">
      <c r="A7">
        <v>142.36000000000001</v>
      </c>
    </row>
    <row r="8" spans="1:1" x14ac:dyDescent="0.35">
      <c r="A8">
        <v>105.28</v>
      </c>
    </row>
    <row r="9" spans="1:1" x14ac:dyDescent="0.35">
      <c r="A9">
        <v>152.72</v>
      </c>
    </row>
    <row r="10" spans="1:1" x14ac:dyDescent="0.35">
      <c r="A10">
        <v>135.12</v>
      </c>
    </row>
    <row r="11" spans="1:1" x14ac:dyDescent="0.35">
      <c r="A11">
        <v>114.32</v>
      </c>
    </row>
    <row r="12" spans="1:1" x14ac:dyDescent="0.35">
      <c r="A12">
        <v>150.96</v>
      </c>
    </row>
    <row r="13" spans="1:1" x14ac:dyDescent="0.35">
      <c r="A13">
        <v>115.62</v>
      </c>
    </row>
    <row r="14" spans="1:1" x14ac:dyDescent="0.35">
      <c r="A14">
        <v>134.58000000000001</v>
      </c>
    </row>
    <row r="15" spans="1:1" x14ac:dyDescent="0.35">
      <c r="A15">
        <v>95.92</v>
      </c>
    </row>
    <row r="16" spans="1:1" x14ac:dyDescent="0.35">
      <c r="A16">
        <v>95.24</v>
      </c>
    </row>
    <row r="17" spans="1:1" x14ac:dyDescent="0.35">
      <c r="A17">
        <v>94.9</v>
      </c>
    </row>
    <row r="18" spans="1:1" x14ac:dyDescent="0.35">
      <c r="A18">
        <v>124.88</v>
      </c>
    </row>
    <row r="19" spans="1:1" x14ac:dyDescent="0.35">
      <c r="A19">
        <v>117.2</v>
      </c>
    </row>
    <row r="20" spans="1:1" x14ac:dyDescent="0.35">
      <c r="A20">
        <v>210.94</v>
      </c>
    </row>
    <row r="21" spans="1:1" x14ac:dyDescent="0.35">
      <c r="A21">
        <v>134.4</v>
      </c>
    </row>
    <row r="22" spans="1:1" x14ac:dyDescent="0.35">
      <c r="A22">
        <v>121.04</v>
      </c>
    </row>
    <row r="23" spans="1:1" x14ac:dyDescent="0.35">
      <c r="A23">
        <v>133.78</v>
      </c>
    </row>
    <row r="24" spans="1:1" x14ac:dyDescent="0.35">
      <c r="A24">
        <v>134.30000000000001</v>
      </c>
    </row>
    <row r="25" spans="1:1" x14ac:dyDescent="0.35">
      <c r="A25">
        <v>134.78</v>
      </c>
    </row>
    <row r="26" spans="1:1" x14ac:dyDescent="0.35">
      <c r="A26">
        <v>100.12</v>
      </c>
    </row>
    <row r="27" spans="1:1" x14ac:dyDescent="0.35">
      <c r="A27">
        <v>126</v>
      </c>
    </row>
    <row r="28" spans="1:1" x14ac:dyDescent="0.35">
      <c r="A28">
        <v>125.08</v>
      </c>
    </row>
    <row r="29" spans="1:1" x14ac:dyDescent="0.35">
      <c r="A29">
        <v>128.24</v>
      </c>
    </row>
    <row r="30" spans="1:1" x14ac:dyDescent="0.35">
      <c r="A30">
        <v>107.66</v>
      </c>
    </row>
    <row r="31" spans="1:1" x14ac:dyDescent="0.35">
      <c r="A31">
        <v>160.02000000000001</v>
      </c>
    </row>
    <row r="32" spans="1:1" x14ac:dyDescent="0.35">
      <c r="A32">
        <v>148.02000000000001</v>
      </c>
    </row>
    <row r="33" spans="1:1" x14ac:dyDescent="0.35">
      <c r="A33">
        <v>144.44</v>
      </c>
    </row>
    <row r="34" spans="1:1" x14ac:dyDescent="0.35">
      <c r="A34">
        <v>95.56</v>
      </c>
    </row>
    <row r="35" spans="1:1" x14ac:dyDescent="0.35">
      <c r="A35">
        <v>113.52</v>
      </c>
    </row>
    <row r="36" spans="1:1" x14ac:dyDescent="0.35">
      <c r="A36">
        <v>142.13999999999999</v>
      </c>
    </row>
    <row r="37" spans="1:1" x14ac:dyDescent="0.35">
      <c r="A37">
        <v>121.32</v>
      </c>
    </row>
    <row r="38" spans="1:1" x14ac:dyDescent="0.35">
      <c r="A38">
        <v>90.32</v>
      </c>
    </row>
    <row r="39" spans="1:1" x14ac:dyDescent="0.35">
      <c r="A39">
        <v>136.96</v>
      </c>
    </row>
    <row r="40" spans="1:1" x14ac:dyDescent="0.35">
      <c r="A40">
        <v>148.4</v>
      </c>
    </row>
    <row r="41" spans="1:1" x14ac:dyDescent="0.35">
      <c r="A41">
        <v>180.04</v>
      </c>
    </row>
    <row r="42" spans="1:1" x14ac:dyDescent="0.35">
      <c r="A42">
        <v>140.12</v>
      </c>
    </row>
    <row r="43" spans="1:1" x14ac:dyDescent="0.35">
      <c r="A43">
        <v>160.58000000000001</v>
      </c>
    </row>
    <row r="44" spans="1:1" x14ac:dyDescent="0.35">
      <c r="A44">
        <v>134.28</v>
      </c>
    </row>
    <row r="45" spans="1:1" x14ac:dyDescent="0.35">
      <c r="A45">
        <v>109.08</v>
      </c>
    </row>
    <row r="46" spans="1:1" x14ac:dyDescent="0.35">
      <c r="A46">
        <v>150.18</v>
      </c>
    </row>
    <row r="47" spans="1:1" x14ac:dyDescent="0.35">
      <c r="A47">
        <v>119</v>
      </c>
    </row>
    <row r="48" spans="1:1" x14ac:dyDescent="0.35">
      <c r="A48">
        <v>135.88</v>
      </c>
    </row>
    <row r="49" spans="1:1" x14ac:dyDescent="0.35">
      <c r="A49">
        <v>93.9</v>
      </c>
    </row>
    <row r="50" spans="1:1" x14ac:dyDescent="0.35">
      <c r="A50">
        <v>124.72</v>
      </c>
    </row>
    <row r="51" spans="1:1" x14ac:dyDescent="0.35">
      <c r="A51">
        <v>116.5</v>
      </c>
    </row>
    <row r="52" spans="1:1" x14ac:dyDescent="0.35">
      <c r="A52">
        <v>98.82</v>
      </c>
    </row>
    <row r="53" spans="1:1" x14ac:dyDescent="0.35">
      <c r="A53">
        <v>138.12</v>
      </c>
    </row>
    <row r="54" spans="1:1" x14ac:dyDescent="0.35">
      <c r="A54">
        <v>123.24</v>
      </c>
    </row>
    <row r="55" spans="1:1" x14ac:dyDescent="0.35">
      <c r="A55">
        <v>133.02000000000001</v>
      </c>
    </row>
    <row r="56" spans="1:1" x14ac:dyDescent="0.35">
      <c r="A56">
        <v>130.22</v>
      </c>
    </row>
    <row r="57" spans="1:1" x14ac:dyDescent="0.35">
      <c r="A57">
        <v>151.72</v>
      </c>
    </row>
    <row r="58" spans="1:1" x14ac:dyDescent="0.35">
      <c r="A58">
        <v>133.66</v>
      </c>
    </row>
    <row r="59" spans="1:1" x14ac:dyDescent="0.35">
      <c r="A59">
        <v>117.18</v>
      </c>
    </row>
    <row r="60" spans="1:1" x14ac:dyDescent="0.35">
      <c r="A60">
        <v>155.63999999999999</v>
      </c>
    </row>
    <row r="61" spans="1:1" x14ac:dyDescent="0.35">
      <c r="A61">
        <v>164.08</v>
      </c>
    </row>
    <row r="62" spans="1:1" x14ac:dyDescent="0.35">
      <c r="A62">
        <v>140.97999999999999</v>
      </c>
    </row>
    <row r="63" spans="1:1" x14ac:dyDescent="0.35">
      <c r="A63">
        <v>153.22</v>
      </c>
    </row>
    <row r="64" spans="1:1" x14ac:dyDescent="0.35">
      <c r="A64">
        <v>124.36</v>
      </c>
    </row>
    <row r="65" spans="1:1" x14ac:dyDescent="0.35">
      <c r="A65">
        <v>128.94</v>
      </c>
    </row>
    <row r="66" spans="1:1" x14ac:dyDescent="0.35">
      <c r="A66">
        <v>80.819999999999993</v>
      </c>
    </row>
    <row r="67" spans="1:1" x14ac:dyDescent="0.35">
      <c r="A67">
        <v>134.66</v>
      </c>
    </row>
    <row r="68" spans="1:1" x14ac:dyDescent="0.35">
      <c r="A68">
        <v>108.5</v>
      </c>
    </row>
    <row r="69" spans="1:1" x14ac:dyDescent="0.35">
      <c r="A69">
        <v>108.88</v>
      </c>
    </row>
    <row r="70" spans="1:1" x14ac:dyDescent="0.35">
      <c r="A70">
        <v>129.4</v>
      </c>
    </row>
    <row r="71" spans="1:1" x14ac:dyDescent="0.35">
      <c r="A71">
        <v>100.44</v>
      </c>
    </row>
    <row r="72" spans="1:1" x14ac:dyDescent="0.35">
      <c r="A72">
        <v>123.48</v>
      </c>
    </row>
    <row r="73" spans="1:1" x14ac:dyDescent="0.35">
      <c r="A73">
        <v>168.14</v>
      </c>
    </row>
    <row r="74" spans="1:1" x14ac:dyDescent="0.35">
      <c r="A74">
        <v>145.54</v>
      </c>
    </row>
    <row r="75" spans="1:1" x14ac:dyDescent="0.35">
      <c r="A75">
        <v>149.34</v>
      </c>
    </row>
    <row r="76" spans="1:1" x14ac:dyDescent="0.35">
      <c r="A76">
        <v>143.34</v>
      </c>
    </row>
    <row r="77" spans="1:1" x14ac:dyDescent="0.35">
      <c r="A77">
        <v>163.96</v>
      </c>
    </row>
    <row r="78" spans="1:1" x14ac:dyDescent="0.35">
      <c r="A78">
        <v>142.94</v>
      </c>
    </row>
    <row r="79" spans="1:1" x14ac:dyDescent="0.35">
      <c r="A79">
        <v>115.74</v>
      </c>
    </row>
    <row r="80" spans="1:1" x14ac:dyDescent="0.35">
      <c r="A80">
        <v>100.22</v>
      </c>
    </row>
    <row r="81" spans="1:1" x14ac:dyDescent="0.35">
      <c r="A81">
        <v>113.68</v>
      </c>
    </row>
    <row r="82" spans="1:1" x14ac:dyDescent="0.35">
      <c r="A82">
        <v>133.84</v>
      </c>
    </row>
    <row r="83" spans="1:1" x14ac:dyDescent="0.35">
      <c r="A83">
        <v>174.98</v>
      </c>
    </row>
    <row r="84" spans="1:1" x14ac:dyDescent="0.35">
      <c r="A84">
        <v>126.9</v>
      </c>
    </row>
    <row r="85" spans="1:1" x14ac:dyDescent="0.35">
      <c r="A85">
        <v>92.52</v>
      </c>
    </row>
    <row r="86" spans="1:1" x14ac:dyDescent="0.35">
      <c r="A86">
        <v>98.8</v>
      </c>
    </row>
    <row r="87" spans="1:1" x14ac:dyDescent="0.35">
      <c r="A87">
        <v>153.66</v>
      </c>
    </row>
    <row r="88" spans="1:1" x14ac:dyDescent="0.35">
      <c r="A88">
        <v>174.58</v>
      </c>
    </row>
    <row r="89" spans="1:1" x14ac:dyDescent="0.35">
      <c r="A89">
        <v>117.32</v>
      </c>
    </row>
    <row r="90" spans="1:1" x14ac:dyDescent="0.35">
      <c r="A90">
        <v>152.66</v>
      </c>
    </row>
    <row r="91" spans="1:1" x14ac:dyDescent="0.35">
      <c r="A91">
        <v>115.66</v>
      </c>
    </row>
    <row r="92" spans="1:1" x14ac:dyDescent="0.35">
      <c r="A92">
        <v>117.52</v>
      </c>
    </row>
    <row r="93" spans="1:1" x14ac:dyDescent="0.35">
      <c r="A93">
        <v>112.52</v>
      </c>
    </row>
    <row r="94" spans="1:1" x14ac:dyDescent="0.35">
      <c r="A94">
        <v>119.12</v>
      </c>
    </row>
    <row r="95" spans="1:1" x14ac:dyDescent="0.35">
      <c r="A95">
        <v>149.06</v>
      </c>
    </row>
    <row r="96" spans="1:1" x14ac:dyDescent="0.35">
      <c r="A96">
        <v>137.78</v>
      </c>
    </row>
    <row r="97" spans="1:1" x14ac:dyDescent="0.35">
      <c r="A97">
        <v>134.28</v>
      </c>
    </row>
    <row r="98" spans="1:1" x14ac:dyDescent="0.35">
      <c r="A98">
        <v>104.36</v>
      </c>
    </row>
    <row r="99" spans="1:1" x14ac:dyDescent="0.35">
      <c r="A99">
        <v>81.22</v>
      </c>
    </row>
    <row r="100" spans="1:1" x14ac:dyDescent="0.35">
      <c r="A100">
        <v>127.42</v>
      </c>
    </row>
    <row r="101" spans="1:1" x14ac:dyDescent="0.35">
      <c r="A101">
        <v>161.69999999999999</v>
      </c>
    </row>
    <row r="102" spans="1:1" x14ac:dyDescent="0.35">
      <c r="A102">
        <v>124.44</v>
      </c>
    </row>
    <row r="103" spans="1:1" x14ac:dyDescent="0.35">
      <c r="A103">
        <v>136.74</v>
      </c>
    </row>
    <row r="104" spans="1:1" x14ac:dyDescent="0.35">
      <c r="A104">
        <v>149.5</v>
      </c>
    </row>
    <row r="105" spans="1:1" x14ac:dyDescent="0.35">
      <c r="A105">
        <v>157.30000000000001</v>
      </c>
    </row>
    <row r="106" spans="1:1" x14ac:dyDescent="0.35">
      <c r="A106">
        <v>172.92</v>
      </c>
    </row>
    <row r="107" spans="1:1" x14ac:dyDescent="0.35">
      <c r="A107">
        <v>99.38</v>
      </c>
    </row>
    <row r="108" spans="1:1" x14ac:dyDescent="0.35">
      <c r="A108">
        <v>121.4</v>
      </c>
    </row>
    <row r="109" spans="1:1" x14ac:dyDescent="0.35">
      <c r="A109">
        <v>144.44</v>
      </c>
    </row>
    <row r="110" spans="1:1" x14ac:dyDescent="0.35">
      <c r="A110">
        <v>109.32</v>
      </c>
    </row>
    <row r="111" spans="1:1" x14ac:dyDescent="0.35">
      <c r="A111">
        <v>108.84</v>
      </c>
    </row>
    <row r="112" spans="1:1" x14ac:dyDescent="0.35">
      <c r="A112">
        <v>137.19999999999999</v>
      </c>
    </row>
    <row r="113" spans="1:1" x14ac:dyDescent="0.35">
      <c r="A113">
        <v>129.5</v>
      </c>
    </row>
    <row r="114" spans="1:1" x14ac:dyDescent="0.35">
      <c r="A114">
        <v>106.18</v>
      </c>
    </row>
    <row r="115" spans="1:1" x14ac:dyDescent="0.35">
      <c r="A115">
        <v>140</v>
      </c>
    </row>
    <row r="116" spans="1:1" x14ac:dyDescent="0.35">
      <c r="A116">
        <v>171.8</v>
      </c>
    </row>
    <row r="117" spans="1:1" x14ac:dyDescent="0.35">
      <c r="A117">
        <v>90.26</v>
      </c>
    </row>
    <row r="118" spans="1:1" x14ac:dyDescent="0.35">
      <c r="A118">
        <v>161.6</v>
      </c>
    </row>
    <row r="119" spans="1:1" x14ac:dyDescent="0.35">
      <c r="A119">
        <v>120.12</v>
      </c>
    </row>
    <row r="120" spans="1:1" x14ac:dyDescent="0.35">
      <c r="A120">
        <v>95.64</v>
      </c>
    </row>
    <row r="121" spans="1:1" x14ac:dyDescent="0.35">
      <c r="A121">
        <v>176.2</v>
      </c>
    </row>
    <row r="122" spans="1:1" x14ac:dyDescent="0.35">
      <c r="A122">
        <v>82</v>
      </c>
    </row>
    <row r="123" spans="1:1" x14ac:dyDescent="0.35">
      <c r="A123">
        <v>105.02</v>
      </c>
    </row>
    <row r="124" spans="1:1" x14ac:dyDescent="0.35">
      <c r="A124">
        <v>129.6</v>
      </c>
    </row>
    <row r="125" spans="1:1" x14ac:dyDescent="0.35">
      <c r="A125">
        <v>147.72</v>
      </c>
    </row>
    <row r="126" spans="1:1" x14ac:dyDescent="0.35">
      <c r="A126">
        <v>128.78</v>
      </c>
    </row>
    <row r="127" spans="1:1" x14ac:dyDescent="0.35">
      <c r="A127">
        <v>167.18</v>
      </c>
    </row>
    <row r="128" spans="1:1" x14ac:dyDescent="0.35">
      <c r="A128">
        <v>126.54</v>
      </c>
    </row>
    <row r="129" spans="1:1" x14ac:dyDescent="0.35">
      <c r="A129">
        <v>82.52</v>
      </c>
    </row>
    <row r="130" spans="1:1" x14ac:dyDescent="0.35">
      <c r="A130">
        <v>115.44</v>
      </c>
    </row>
    <row r="131" spans="1:1" x14ac:dyDescent="0.35">
      <c r="A131">
        <v>114.94</v>
      </c>
    </row>
    <row r="132" spans="1:1" x14ac:dyDescent="0.35">
      <c r="A132">
        <v>126.46</v>
      </c>
    </row>
    <row r="133" spans="1:1" x14ac:dyDescent="0.35">
      <c r="A133">
        <v>122.04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Stats</vt:lpstr>
      <vt:lpstr>Schedule</vt:lpstr>
      <vt:lpstr>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Castagliuolo</dc:creator>
  <cp:lastModifiedBy>Franco Castagliuolo</cp:lastModifiedBy>
  <dcterms:created xsi:type="dcterms:W3CDTF">2025-10-21T18:15:47Z</dcterms:created>
  <dcterms:modified xsi:type="dcterms:W3CDTF">2025-11-25T05:04:53Z</dcterms:modified>
</cp:coreProperties>
</file>