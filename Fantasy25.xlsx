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f237e831f26750/Fantasy/"/>
    </mc:Choice>
  </mc:AlternateContent>
  <xr:revisionPtr revIDLastSave="972" documentId="8_{88CC661F-CCD9-4A51-8266-56BBE17AA9E6}" xr6:coauthVersionLast="47" xr6:coauthVersionMax="47" xr10:uidLastSave="{6477D868-E26C-4368-AC92-1463D087B997}"/>
  <bookViews>
    <workbookView xWindow="-110" yWindow="-110" windowWidth="19420" windowHeight="11500" xr2:uid="{A29E1835-958C-4353-954C-D756CD020572}"/>
  </bookViews>
  <sheets>
    <sheet name="Stats" sheetId="1" r:id="rId1"/>
    <sheet name="Schedule" sheetId="2" r:id="rId2"/>
    <sheet name="Poin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H12" i="1"/>
  <c r="G12" i="1"/>
  <c r="J11" i="1"/>
  <c r="I11" i="1"/>
  <c r="H11" i="1"/>
  <c r="G11" i="1"/>
  <c r="J9" i="1"/>
  <c r="I9" i="1"/>
  <c r="H9" i="1"/>
  <c r="G9" i="1"/>
  <c r="J8" i="1"/>
  <c r="I8" i="1"/>
  <c r="H8" i="1"/>
  <c r="G8" i="1"/>
  <c r="J7" i="1"/>
  <c r="I7" i="1"/>
  <c r="H7" i="1"/>
  <c r="G7" i="1"/>
  <c r="J6" i="1"/>
  <c r="I6" i="1"/>
  <c r="H6" i="1"/>
  <c r="G6" i="1"/>
  <c r="J5" i="1"/>
  <c r="I5" i="1"/>
  <c r="H5" i="1"/>
  <c r="G5" i="1"/>
  <c r="J4" i="1"/>
  <c r="I4" i="1"/>
  <c r="H4" i="1"/>
  <c r="G4" i="1"/>
  <c r="J3" i="1"/>
  <c r="I3" i="1"/>
  <c r="H3" i="1"/>
  <c r="G3" i="1"/>
  <c r="J2" i="1"/>
  <c r="I2" i="1"/>
  <c r="H2" i="1"/>
  <c r="G2" i="1"/>
  <c r="E12" i="1"/>
  <c r="E11" i="1"/>
  <c r="E10" i="1"/>
  <c r="E9" i="1"/>
  <c r="E8" i="1"/>
  <c r="E7" i="1"/>
  <c r="C6" i="1"/>
  <c r="E6" i="1" s="1"/>
  <c r="E3" i="1"/>
  <c r="C2" i="1"/>
  <c r="E2" i="1" s="1"/>
  <c r="J13" i="1"/>
  <c r="I13" i="1"/>
  <c r="H13" i="1"/>
  <c r="G13" i="1"/>
  <c r="J12" i="1"/>
  <c r="J10" i="1"/>
  <c r="I10" i="1"/>
  <c r="H10" i="1"/>
  <c r="G10" i="1"/>
  <c r="E13" i="1"/>
  <c r="E5" i="1"/>
  <c r="E4" i="1"/>
</calcChain>
</file>

<file path=xl/sharedStrings.xml><?xml version="1.0" encoding="utf-8"?>
<sst xmlns="http://schemas.openxmlformats.org/spreadsheetml/2006/main" count="38" uniqueCount="26">
  <si>
    <t>Team</t>
  </si>
  <si>
    <t>Driscoll</t>
  </si>
  <si>
    <t>Williams</t>
  </si>
  <si>
    <t>Sawyer</t>
  </si>
  <si>
    <t>Zorn</t>
  </si>
  <si>
    <t>Casta</t>
  </si>
  <si>
    <t>Andre</t>
  </si>
  <si>
    <t>Vagmi</t>
  </si>
  <si>
    <t>Beloff</t>
  </si>
  <si>
    <t>Croteau</t>
  </si>
  <si>
    <t>Pletter</t>
  </si>
  <si>
    <t>Alperin</t>
  </si>
  <si>
    <t>Mehar</t>
  </si>
  <si>
    <t>Wins</t>
  </si>
  <si>
    <t>TeamRank</t>
  </si>
  <si>
    <t>Week</t>
  </si>
  <si>
    <t>Team1</t>
  </si>
  <si>
    <t>Team2</t>
  </si>
  <si>
    <t>Points</t>
  </si>
  <si>
    <t>GP</t>
  </si>
  <si>
    <t>MeanPF</t>
  </si>
  <si>
    <t>PF</t>
  </si>
  <si>
    <t>Week 14</t>
  </si>
  <si>
    <t>R1</t>
  </si>
  <si>
    <t>R2</t>
  </si>
  <si>
    <t>R3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</si>
</sst>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7F2BD-4668-4F2E-A784-0621D0D0FED9}">
  <dimension ref="A1:J13"/>
  <sheetViews>
    <sheetView tabSelected="1" workbookViewId="0">
      <selection activeCell="I12" sqref="I12"/>
    </sheetView>
  </sheetViews>
  <sheetFormatPr defaultRowHeight="14.5" x14ac:dyDescent="0.35"/>
  <cols>
    <col min="1" max="1" width="8.90625" customWidth="1"/>
    <col min="6" max="6" width="9.26953125" bestFit="1" customWidth="1"/>
  </cols>
  <sheetData>
    <row r="1" spans="1:10" x14ac:dyDescent="0.35">
      <c r="A1" t="s">
        <v>0</v>
      </c>
      <c r="B1" t="s">
        <v>13</v>
      </c>
      <c r="C1" t="s">
        <v>21</v>
      </c>
      <c r="D1" t="s">
        <v>19</v>
      </c>
      <c r="E1" t="s">
        <v>20</v>
      </c>
      <c r="F1" t="s">
        <v>14</v>
      </c>
      <c r="G1" t="s">
        <v>22</v>
      </c>
      <c r="H1" t="s">
        <v>23</v>
      </c>
      <c r="I1" t="s">
        <v>24</v>
      </c>
      <c r="J1" t="s">
        <v>25</v>
      </c>
    </row>
    <row r="2" spans="1:10" x14ac:dyDescent="0.35">
      <c r="A2" t="s">
        <v>1</v>
      </c>
      <c r="B2">
        <v>11</v>
      </c>
      <c r="C2">
        <f>1713.2+167.56+95</f>
        <v>1975.76</v>
      </c>
      <c r="D2">
        <v>13</v>
      </c>
      <c r="E2">
        <f>C2/D2</f>
        <v>151.98153846153846</v>
      </c>
      <c r="F2">
        <v>10</v>
      </c>
      <c r="G2">
        <f>20.28+21.32+8+9.47+20.89+10.98+8.58+13.05+5.81+8.64</f>
        <v>127.02000000000001</v>
      </c>
      <c r="H2">
        <f>19.05+13.28+26.82+14.65+21.61+10+16.22+20.25+5.92+8.77</f>
        <v>156.57</v>
      </c>
      <c r="I2">
        <f>19.15+20.55+23.43+15.09+20.86+10.38+14.18+19.35+6.69+8.41</f>
        <v>158.08999999999997</v>
      </c>
      <c r="J2">
        <f>22.29+18.78+26.74+15.19+21.18+11.93+12.08+18.82+8.69+5</f>
        <v>160.70000000000002</v>
      </c>
    </row>
    <row r="3" spans="1:10" x14ac:dyDescent="0.35">
      <c r="A3" t="s">
        <v>2</v>
      </c>
      <c r="B3">
        <v>9</v>
      </c>
      <c r="C3">
        <v>1683.48</v>
      </c>
      <c r="D3">
        <v>13</v>
      </c>
      <c r="E3">
        <f t="shared" ref="E3:E13" si="0">C3/D3</f>
        <v>129.49846153846153</v>
      </c>
      <c r="F3">
        <v>7.3</v>
      </c>
      <c r="G3">
        <f>23.98+21.31+14.1+18.92+14.02+12.9+13.27+10.52+6+7.93</f>
        <v>142.95000000000002</v>
      </c>
      <c r="H3">
        <f>18.94+16.57+14.9+17.18+13.92+12.64+11.27+13.21+6+7.83</f>
        <v>132.46</v>
      </c>
      <c r="I3">
        <f>18.19+17.04+14.63+17.9+15.75+14.03+11.26+14.08+6+7.85</f>
        <v>136.72999999999999</v>
      </c>
      <c r="J3">
        <f>19.55+17.59+16.48+20.38+15.05+12.79+11.23+13.83+7.58+7.77</f>
        <v>142.25000000000003</v>
      </c>
    </row>
    <row r="4" spans="1:10" x14ac:dyDescent="0.35">
      <c r="A4" t="s">
        <v>3</v>
      </c>
      <c r="B4">
        <v>6</v>
      </c>
      <c r="C4">
        <v>1605.22</v>
      </c>
      <c r="D4">
        <v>13</v>
      </c>
      <c r="E4">
        <f t="shared" si="0"/>
        <v>123.47846153846154</v>
      </c>
      <c r="F4">
        <v>5.7</v>
      </c>
      <c r="G4">
        <f>16.79+23.69+8.32+12.79+11.8+9.05+9.57+11.03+6+8</f>
        <v>117.03999999999999</v>
      </c>
      <c r="H4">
        <f>19.95+18.85+12.18+12.49+12.1+10.26+9.88+11.49+6+8.63</f>
        <v>121.82999999999998</v>
      </c>
      <c r="I4">
        <f>16.5+20.76+11.33+14.06+11.35+9.28+9.05+11.42+6+8.36</f>
        <v>118.11</v>
      </c>
      <c r="J4">
        <f>16.64+19.99+12.4+12.68+12.85+9.53+8.89+11.98+6+8.74</f>
        <v>119.69999999999999</v>
      </c>
    </row>
    <row r="5" spans="1:10" x14ac:dyDescent="0.35">
      <c r="A5" t="s">
        <v>4</v>
      </c>
      <c r="B5">
        <v>7</v>
      </c>
      <c r="C5">
        <v>1602.22</v>
      </c>
      <c r="D5">
        <v>13</v>
      </c>
      <c r="E5">
        <f t="shared" si="0"/>
        <v>123.2476923076923</v>
      </c>
      <c r="F5">
        <v>5.8</v>
      </c>
      <c r="G5">
        <f>16.89+23.47+8.52+20.88+12.09+8.36+8.65+11.8+6.07+8.38</f>
        <v>125.10999999999999</v>
      </c>
      <c r="H5">
        <f>15.93+22+10.13+21.08+11.33+9.41+9.9+11.16+6+9.13</f>
        <v>126.07</v>
      </c>
      <c r="I5">
        <f>17.27+26.49+12.32+19.41+10.42+8.01+10.04+10.33+6+8.61</f>
        <v>128.9</v>
      </c>
      <c r="J5">
        <f>18.26+24.15+13.42+20.78+10.66+8.01+11.34+11.01+6.51+9</f>
        <v>133.14000000000001</v>
      </c>
    </row>
    <row r="6" spans="1:10" x14ac:dyDescent="0.35">
      <c r="A6" t="s">
        <v>5</v>
      </c>
      <c r="B6">
        <v>8</v>
      </c>
      <c r="C6">
        <f>1290.82+157.76+134</f>
        <v>1582.58</v>
      </c>
      <c r="D6">
        <v>13</v>
      </c>
      <c r="E6">
        <f t="shared" si="0"/>
        <v>121.73692307692308</v>
      </c>
      <c r="F6">
        <v>5</v>
      </c>
      <c r="G6">
        <f>19.41+16.6+12.12+16.33+12.22+9.39+11.03+8.64+6+7.97</f>
        <v>119.71000000000001</v>
      </c>
      <c r="H6" s="1">
        <f>21.79+14.03+14.53+16.35+12.8+9.38+12.75+12.94+6+8.51</f>
        <v>129.07999999999998</v>
      </c>
      <c r="I6">
        <f>23.9+15.45+16.65+18.73+13.22+10.77+12.94+12.98+6+8.39</f>
        <v>139.02999999999997</v>
      </c>
      <c r="J6">
        <f>20.48+14.83+13.99+16.44+13.24+9.42+10.71+11.57+6+8.07</f>
        <v>124.75</v>
      </c>
    </row>
    <row r="7" spans="1:10" x14ac:dyDescent="0.35">
      <c r="A7" t="s">
        <v>6</v>
      </c>
      <c r="B7">
        <v>9</v>
      </c>
      <c r="C7">
        <v>1769.08</v>
      </c>
      <c r="D7">
        <v>13</v>
      </c>
      <c r="E7">
        <f t="shared" si="0"/>
        <v>136.08307692307693</v>
      </c>
      <c r="F7">
        <v>7.7</v>
      </c>
      <c r="G7">
        <f>17+11.31+20.87+12.3+19.48+15.5+13.34+11.71+6+8.45</f>
        <v>135.96</v>
      </c>
      <c r="H7">
        <f>20.87+19.76+12.61+14.09+17.63+14.44+10.68+10.83+8.37+8.72</f>
        <v>137.99999999999997</v>
      </c>
      <c r="I7">
        <f>19.67+9.59+23.79+18.38+11.31+15.79+12.18+12+5.78+8.3</f>
        <v>136.79000000000002</v>
      </c>
      <c r="J7">
        <f>20.52+9.15+21.78+13.22+21.05+17.12+13.7+13.11+6+8.19</f>
        <v>143.84</v>
      </c>
    </row>
    <row r="8" spans="1:10" x14ac:dyDescent="0.35">
      <c r="A8" t="s">
        <v>7</v>
      </c>
      <c r="B8">
        <v>6</v>
      </c>
      <c r="C8">
        <v>1705.94</v>
      </c>
      <c r="D8">
        <v>13</v>
      </c>
      <c r="E8">
        <f t="shared" si="0"/>
        <v>131.22615384615386</v>
      </c>
      <c r="F8">
        <v>7</v>
      </c>
      <c r="G8">
        <f>17.88+14.49+16.36+17.11+16+9.39+10.12+16.15+6.81+8</f>
        <v>132.31</v>
      </c>
      <c r="H8">
        <f>19.38+15.94+16.6+18.01+12.47+9.87+9.49+18.2+6+8.26</f>
        <v>134.22</v>
      </c>
      <c r="I8">
        <f>21.03+17.04+16.47+18.87+11.95+8.86+9.25+17.6+6+8.45</f>
        <v>135.51999999999998</v>
      </c>
      <c r="J8">
        <f>17.93+15.05+16.45+17.23+11.62+10.19+12.23+17.27+6.33+7.97</f>
        <v>132.27000000000001</v>
      </c>
    </row>
    <row r="9" spans="1:10" x14ac:dyDescent="0.35">
      <c r="A9" t="s">
        <v>8</v>
      </c>
      <c r="B9">
        <v>6</v>
      </c>
      <c r="C9">
        <v>1573.66</v>
      </c>
      <c r="D9">
        <v>13</v>
      </c>
      <c r="E9">
        <f t="shared" si="0"/>
        <v>121.05076923076923</v>
      </c>
      <c r="F9">
        <v>4.4000000000000004</v>
      </c>
      <c r="G9">
        <f>15.36+11.37+12.2+10.35+13.49+10.09+8.61+8.98+6.15+8.3</f>
        <v>104.9</v>
      </c>
      <c r="H9">
        <f>14.04+12.57+14.01+15.15+13.47+10.61+9.62+10.57+6+8.64</f>
        <v>114.67999999999999</v>
      </c>
      <c r="I9">
        <f>17.36+11.79+12.47+10.4+15.47+12.43+11.3+6+8.54+11.13</f>
        <v>116.88999999999999</v>
      </c>
      <c r="J9">
        <f>19.86+11.13+12.14+9.61+13.58+10.17+13.25+9.62+6.95+8.13</f>
        <v>114.44000000000001</v>
      </c>
    </row>
    <row r="10" spans="1:10" x14ac:dyDescent="0.35">
      <c r="A10" t="s">
        <v>9</v>
      </c>
      <c r="B10">
        <v>4</v>
      </c>
      <c r="C10">
        <v>1725.7</v>
      </c>
      <c r="D10">
        <v>13</v>
      </c>
      <c r="E10">
        <f t="shared" si="0"/>
        <v>132.74615384615385</v>
      </c>
      <c r="F10">
        <v>8.1</v>
      </c>
      <c r="G10">
        <f>16.92+16.3+14.16+21.19+17.87+8+11.91+13.1+6.86+8.44</f>
        <v>134.75</v>
      </c>
      <c r="H10">
        <f>18.46+19.33+11.96+20.54+17.35+15.39+12.53+14.32+6+8.3</f>
        <v>144.18</v>
      </c>
      <c r="I10">
        <f>19.1+15.99+11.77+21.66+16.39+15.67+12.5+14.69+6+8.81</f>
        <v>142.57999999999998</v>
      </c>
      <c r="J10">
        <f>19.25+14.92+12.95+21.01+16.38+15.75+12.64+12.3+6.75+8.26</f>
        <v>140.20999999999998</v>
      </c>
    </row>
    <row r="11" spans="1:10" x14ac:dyDescent="0.35">
      <c r="A11" t="s">
        <v>10</v>
      </c>
      <c r="B11">
        <v>6</v>
      </c>
      <c r="C11">
        <v>1712.06</v>
      </c>
      <c r="D11">
        <v>13</v>
      </c>
      <c r="E11">
        <f t="shared" si="0"/>
        <v>131.69692307692307</v>
      </c>
      <c r="F11">
        <v>7.7</v>
      </c>
      <c r="G11">
        <f>17+14.33+19.97+16.92+10.93+13.2+13.52+15.85+6+8.32</f>
        <v>136.04</v>
      </c>
      <c r="H11">
        <f>23.69+14.29+22.59+15.85+10.11+13.46+12.72+16.79+5.98+8.64</f>
        <v>144.12</v>
      </c>
      <c r="I11">
        <f>19.42+15.25+22.19+15.42+11.57+13+12.55+15.71+6.91+7.92</f>
        <v>139.93999999999997</v>
      </c>
      <c r="J11">
        <f>20.48+15.35+20.39+15.29+10.99+15.16+12.49+22.21+6.49+8.14</f>
        <v>146.99</v>
      </c>
    </row>
    <row r="12" spans="1:10" x14ac:dyDescent="0.35">
      <c r="A12" t="s">
        <v>11</v>
      </c>
      <c r="B12">
        <v>3</v>
      </c>
      <c r="C12">
        <v>1545.74</v>
      </c>
      <c r="D12">
        <v>13</v>
      </c>
      <c r="E12">
        <f t="shared" si="0"/>
        <v>118.90307692307692</v>
      </c>
      <c r="F12">
        <v>5.3</v>
      </c>
      <c r="G12">
        <f>18.48+12.76+13.66+16.71+10.87+8.71+10.38+10.6+6+9.24</f>
        <v>117.40999999999998</v>
      </c>
      <c r="H12">
        <f>19.25+14.33+16.86+11.15+9.46+13.09+13.86+7.67+9.2</f>
        <v>114.87</v>
      </c>
      <c r="I12">
        <f>15.79+12.29+11.66+15.43+10.62+8.97+14.11+15.03+9.79+9.16</f>
        <v>122.85</v>
      </c>
      <c r="J12">
        <f>18.95+13+14.18+16.75+10.08+7.64+13.96+13.9+7.85+9.54</f>
        <v>125.85</v>
      </c>
    </row>
    <row r="13" spans="1:10" x14ac:dyDescent="0.35">
      <c r="A13" t="s">
        <v>12</v>
      </c>
      <c r="B13">
        <v>3</v>
      </c>
      <c r="C13">
        <v>1422.92</v>
      </c>
      <c r="D13">
        <v>13</v>
      </c>
      <c r="E13">
        <f t="shared" si="0"/>
        <v>109.45538461538462</v>
      </c>
      <c r="F13">
        <v>5.6</v>
      </c>
      <c r="G13">
        <f>18.42+12.61+11.62+13.56+15.94+9.1+13.72+9.75+6+8.4</f>
        <v>119.12</v>
      </c>
      <c r="H13">
        <f>17.71+13.97+14.2+14.02+15.48+8.63+13.54+13.05+6+8.37</f>
        <v>124.96999999999998</v>
      </c>
      <c r="I13">
        <f>21.63+10.85+13.58+14.6+14.69+8.29+13.26+14.14+6+8.3</f>
        <v>125.33999999999999</v>
      </c>
      <c r="J13">
        <f>18.79+12.12+12.83+16.17+16.04+8.07+12.88+14.48+6+8.27</f>
        <v>125.64999999999998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4DA19-316A-4B7A-8D76-D502CD1189E8}">
  <dimension ref="A1:C7"/>
  <sheetViews>
    <sheetView workbookViewId="0">
      <selection activeCell="E12" sqref="E12"/>
    </sheetView>
  </sheetViews>
  <sheetFormatPr defaultRowHeight="14.5" x14ac:dyDescent="0.35"/>
  <sheetData>
    <row r="1" spans="1:3" x14ac:dyDescent="0.35">
      <c r="A1" t="s">
        <v>15</v>
      </c>
      <c r="B1" t="s">
        <v>16</v>
      </c>
      <c r="C1" t="s">
        <v>17</v>
      </c>
    </row>
    <row r="2" spans="1:3" x14ac:dyDescent="0.35">
      <c r="A2">
        <v>14</v>
      </c>
      <c r="B2" t="s">
        <v>5</v>
      </c>
      <c r="C2" t="s">
        <v>1</v>
      </c>
    </row>
    <row r="3" spans="1:3" x14ac:dyDescent="0.35">
      <c r="A3">
        <v>14</v>
      </c>
      <c r="B3" t="s">
        <v>6</v>
      </c>
      <c r="C3" t="s">
        <v>4</v>
      </c>
    </row>
    <row r="4" spans="1:3" x14ac:dyDescent="0.35">
      <c r="A4">
        <v>14</v>
      </c>
      <c r="B4" t="s">
        <v>3</v>
      </c>
      <c r="C4" t="s">
        <v>7</v>
      </c>
    </row>
    <row r="5" spans="1:3" x14ac:dyDescent="0.35">
      <c r="A5">
        <v>14</v>
      </c>
      <c r="B5" t="s">
        <v>10</v>
      </c>
      <c r="C5" t="s">
        <v>11</v>
      </c>
    </row>
    <row r="6" spans="1:3" x14ac:dyDescent="0.35">
      <c r="A6">
        <v>14</v>
      </c>
      <c r="B6" t="s">
        <v>12</v>
      </c>
      <c r="C6" t="s">
        <v>9</v>
      </c>
    </row>
    <row r="7" spans="1:3" x14ac:dyDescent="0.35">
      <c r="A7">
        <v>14</v>
      </c>
      <c r="B7" t="s">
        <v>2</v>
      </c>
      <c r="C7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18282-1986-474B-A23B-31B29600C102}">
  <dimension ref="A1:A133"/>
  <sheetViews>
    <sheetView topLeftCell="A113" workbookViewId="0">
      <selection activeCell="C131" sqref="C131"/>
    </sheetView>
  </sheetViews>
  <sheetFormatPr defaultRowHeight="14.5" x14ac:dyDescent="0.35"/>
  <sheetData>
    <row r="1" spans="1:1" x14ac:dyDescent="0.35">
      <c r="A1" t="s">
        <v>18</v>
      </c>
    </row>
    <row r="2" spans="1:1" x14ac:dyDescent="0.35">
      <c r="A2">
        <v>90.24</v>
      </c>
    </row>
    <row r="3" spans="1:1" x14ac:dyDescent="0.35">
      <c r="A3">
        <v>114.02</v>
      </c>
    </row>
    <row r="4" spans="1:1" x14ac:dyDescent="0.35">
      <c r="A4">
        <v>86.02</v>
      </c>
    </row>
    <row r="5" spans="1:1" x14ac:dyDescent="0.35">
      <c r="A5">
        <v>92.88</v>
      </c>
    </row>
    <row r="6" spans="1:1" x14ac:dyDescent="0.35">
      <c r="A6">
        <v>134.08000000000001</v>
      </c>
    </row>
    <row r="7" spans="1:1" x14ac:dyDescent="0.35">
      <c r="A7">
        <v>142.36000000000001</v>
      </c>
    </row>
    <row r="8" spans="1:1" x14ac:dyDescent="0.35">
      <c r="A8">
        <v>105.28</v>
      </c>
    </row>
    <row r="9" spans="1:1" x14ac:dyDescent="0.35">
      <c r="A9">
        <v>152.72</v>
      </c>
    </row>
    <row r="10" spans="1:1" x14ac:dyDescent="0.35">
      <c r="A10">
        <v>135.12</v>
      </c>
    </row>
    <row r="11" spans="1:1" x14ac:dyDescent="0.35">
      <c r="A11">
        <v>114.32</v>
      </c>
    </row>
    <row r="12" spans="1:1" x14ac:dyDescent="0.35">
      <c r="A12">
        <v>150.96</v>
      </c>
    </row>
    <row r="13" spans="1:1" x14ac:dyDescent="0.35">
      <c r="A13">
        <v>115.62</v>
      </c>
    </row>
    <row r="14" spans="1:1" x14ac:dyDescent="0.35">
      <c r="A14">
        <v>134.58000000000001</v>
      </c>
    </row>
    <row r="15" spans="1:1" x14ac:dyDescent="0.35">
      <c r="A15">
        <v>95.92</v>
      </c>
    </row>
    <row r="16" spans="1:1" x14ac:dyDescent="0.35">
      <c r="A16">
        <v>95.24</v>
      </c>
    </row>
    <row r="17" spans="1:1" x14ac:dyDescent="0.35">
      <c r="A17">
        <v>94.9</v>
      </c>
    </row>
    <row r="18" spans="1:1" x14ac:dyDescent="0.35">
      <c r="A18">
        <v>124.88</v>
      </c>
    </row>
    <row r="19" spans="1:1" x14ac:dyDescent="0.35">
      <c r="A19">
        <v>117.2</v>
      </c>
    </row>
    <row r="20" spans="1:1" x14ac:dyDescent="0.35">
      <c r="A20">
        <v>210.94</v>
      </c>
    </row>
    <row r="21" spans="1:1" x14ac:dyDescent="0.35">
      <c r="A21">
        <v>134.4</v>
      </c>
    </row>
    <row r="22" spans="1:1" x14ac:dyDescent="0.35">
      <c r="A22">
        <v>121.04</v>
      </c>
    </row>
    <row r="23" spans="1:1" x14ac:dyDescent="0.35">
      <c r="A23">
        <v>133.78</v>
      </c>
    </row>
    <row r="24" spans="1:1" x14ac:dyDescent="0.35">
      <c r="A24">
        <v>134.30000000000001</v>
      </c>
    </row>
    <row r="25" spans="1:1" x14ac:dyDescent="0.35">
      <c r="A25">
        <v>134.78</v>
      </c>
    </row>
    <row r="26" spans="1:1" x14ac:dyDescent="0.35">
      <c r="A26">
        <v>100.12</v>
      </c>
    </row>
    <row r="27" spans="1:1" x14ac:dyDescent="0.35">
      <c r="A27">
        <v>126</v>
      </c>
    </row>
    <row r="28" spans="1:1" x14ac:dyDescent="0.35">
      <c r="A28">
        <v>125.08</v>
      </c>
    </row>
    <row r="29" spans="1:1" x14ac:dyDescent="0.35">
      <c r="A29">
        <v>128.24</v>
      </c>
    </row>
    <row r="30" spans="1:1" x14ac:dyDescent="0.35">
      <c r="A30">
        <v>107.66</v>
      </c>
    </row>
    <row r="31" spans="1:1" x14ac:dyDescent="0.35">
      <c r="A31">
        <v>160.02000000000001</v>
      </c>
    </row>
    <row r="32" spans="1:1" x14ac:dyDescent="0.35">
      <c r="A32">
        <v>148.02000000000001</v>
      </c>
    </row>
    <row r="33" spans="1:1" x14ac:dyDescent="0.35">
      <c r="A33">
        <v>144.44</v>
      </c>
    </row>
    <row r="34" spans="1:1" x14ac:dyDescent="0.35">
      <c r="A34">
        <v>95.56</v>
      </c>
    </row>
    <row r="35" spans="1:1" x14ac:dyDescent="0.35">
      <c r="A35">
        <v>113.52</v>
      </c>
    </row>
    <row r="36" spans="1:1" x14ac:dyDescent="0.35">
      <c r="A36">
        <v>142.13999999999999</v>
      </c>
    </row>
    <row r="37" spans="1:1" x14ac:dyDescent="0.35">
      <c r="A37">
        <v>121.32</v>
      </c>
    </row>
    <row r="38" spans="1:1" x14ac:dyDescent="0.35">
      <c r="A38">
        <v>90.32</v>
      </c>
    </row>
    <row r="39" spans="1:1" x14ac:dyDescent="0.35">
      <c r="A39">
        <v>136.96</v>
      </c>
    </row>
    <row r="40" spans="1:1" x14ac:dyDescent="0.35">
      <c r="A40">
        <v>148.4</v>
      </c>
    </row>
    <row r="41" spans="1:1" x14ac:dyDescent="0.35">
      <c r="A41">
        <v>180.04</v>
      </c>
    </row>
    <row r="42" spans="1:1" x14ac:dyDescent="0.35">
      <c r="A42">
        <v>140.12</v>
      </c>
    </row>
    <row r="43" spans="1:1" x14ac:dyDescent="0.35">
      <c r="A43">
        <v>160.58000000000001</v>
      </c>
    </row>
    <row r="44" spans="1:1" x14ac:dyDescent="0.35">
      <c r="A44">
        <v>134.28</v>
      </c>
    </row>
    <row r="45" spans="1:1" x14ac:dyDescent="0.35">
      <c r="A45">
        <v>109.08</v>
      </c>
    </row>
    <row r="46" spans="1:1" x14ac:dyDescent="0.35">
      <c r="A46">
        <v>150.18</v>
      </c>
    </row>
    <row r="47" spans="1:1" x14ac:dyDescent="0.35">
      <c r="A47">
        <v>119</v>
      </c>
    </row>
    <row r="48" spans="1:1" x14ac:dyDescent="0.35">
      <c r="A48">
        <v>135.88</v>
      </c>
    </row>
    <row r="49" spans="1:1" x14ac:dyDescent="0.35">
      <c r="A49">
        <v>93.9</v>
      </c>
    </row>
    <row r="50" spans="1:1" x14ac:dyDescent="0.35">
      <c r="A50">
        <v>124.72</v>
      </c>
    </row>
    <row r="51" spans="1:1" x14ac:dyDescent="0.35">
      <c r="A51">
        <v>116.5</v>
      </c>
    </row>
    <row r="52" spans="1:1" x14ac:dyDescent="0.35">
      <c r="A52">
        <v>98.82</v>
      </c>
    </row>
    <row r="53" spans="1:1" x14ac:dyDescent="0.35">
      <c r="A53">
        <v>138.12</v>
      </c>
    </row>
    <row r="54" spans="1:1" x14ac:dyDescent="0.35">
      <c r="A54">
        <v>123.24</v>
      </c>
    </row>
    <row r="55" spans="1:1" x14ac:dyDescent="0.35">
      <c r="A55">
        <v>133.02000000000001</v>
      </c>
    </row>
    <row r="56" spans="1:1" x14ac:dyDescent="0.35">
      <c r="A56">
        <v>130.22</v>
      </c>
    </row>
    <row r="57" spans="1:1" x14ac:dyDescent="0.35">
      <c r="A57">
        <v>151.72</v>
      </c>
    </row>
    <row r="58" spans="1:1" x14ac:dyDescent="0.35">
      <c r="A58">
        <v>133.66</v>
      </c>
    </row>
    <row r="59" spans="1:1" x14ac:dyDescent="0.35">
      <c r="A59">
        <v>117.18</v>
      </c>
    </row>
    <row r="60" spans="1:1" x14ac:dyDescent="0.35">
      <c r="A60">
        <v>155.63999999999999</v>
      </c>
    </row>
    <row r="61" spans="1:1" x14ac:dyDescent="0.35">
      <c r="A61">
        <v>164.08</v>
      </c>
    </row>
    <row r="62" spans="1:1" x14ac:dyDescent="0.35">
      <c r="A62">
        <v>140.97999999999999</v>
      </c>
    </row>
    <row r="63" spans="1:1" x14ac:dyDescent="0.35">
      <c r="A63">
        <v>153.22</v>
      </c>
    </row>
    <row r="64" spans="1:1" x14ac:dyDescent="0.35">
      <c r="A64">
        <v>124.36</v>
      </c>
    </row>
    <row r="65" spans="1:1" x14ac:dyDescent="0.35">
      <c r="A65">
        <v>128.94</v>
      </c>
    </row>
    <row r="66" spans="1:1" x14ac:dyDescent="0.35">
      <c r="A66">
        <v>80.819999999999993</v>
      </c>
    </row>
    <row r="67" spans="1:1" x14ac:dyDescent="0.35">
      <c r="A67">
        <v>134.66</v>
      </c>
    </row>
    <row r="68" spans="1:1" x14ac:dyDescent="0.35">
      <c r="A68">
        <v>108.5</v>
      </c>
    </row>
    <row r="69" spans="1:1" x14ac:dyDescent="0.35">
      <c r="A69">
        <v>108.88</v>
      </c>
    </row>
    <row r="70" spans="1:1" x14ac:dyDescent="0.35">
      <c r="A70">
        <v>129.4</v>
      </c>
    </row>
    <row r="71" spans="1:1" x14ac:dyDescent="0.35">
      <c r="A71">
        <v>100.44</v>
      </c>
    </row>
    <row r="72" spans="1:1" x14ac:dyDescent="0.35">
      <c r="A72">
        <v>123.48</v>
      </c>
    </row>
    <row r="73" spans="1:1" x14ac:dyDescent="0.35">
      <c r="A73">
        <v>168.14</v>
      </c>
    </row>
    <row r="74" spans="1:1" x14ac:dyDescent="0.35">
      <c r="A74">
        <v>145.54</v>
      </c>
    </row>
    <row r="75" spans="1:1" x14ac:dyDescent="0.35">
      <c r="A75">
        <v>149.34</v>
      </c>
    </row>
    <row r="76" spans="1:1" x14ac:dyDescent="0.35">
      <c r="A76">
        <v>143.34</v>
      </c>
    </row>
    <row r="77" spans="1:1" x14ac:dyDescent="0.35">
      <c r="A77">
        <v>163.96</v>
      </c>
    </row>
    <row r="78" spans="1:1" x14ac:dyDescent="0.35">
      <c r="A78">
        <v>142.94</v>
      </c>
    </row>
    <row r="79" spans="1:1" x14ac:dyDescent="0.35">
      <c r="A79">
        <v>115.74</v>
      </c>
    </row>
    <row r="80" spans="1:1" x14ac:dyDescent="0.35">
      <c r="A80">
        <v>100.22</v>
      </c>
    </row>
    <row r="81" spans="1:1" x14ac:dyDescent="0.35">
      <c r="A81">
        <v>113.68</v>
      </c>
    </row>
    <row r="82" spans="1:1" x14ac:dyDescent="0.35">
      <c r="A82">
        <v>133.84</v>
      </c>
    </row>
    <row r="83" spans="1:1" x14ac:dyDescent="0.35">
      <c r="A83">
        <v>174.98</v>
      </c>
    </row>
    <row r="84" spans="1:1" x14ac:dyDescent="0.35">
      <c r="A84">
        <v>126.9</v>
      </c>
    </row>
    <row r="85" spans="1:1" x14ac:dyDescent="0.35">
      <c r="A85">
        <v>92.52</v>
      </c>
    </row>
    <row r="86" spans="1:1" x14ac:dyDescent="0.35">
      <c r="A86">
        <v>98.8</v>
      </c>
    </row>
    <row r="87" spans="1:1" x14ac:dyDescent="0.35">
      <c r="A87">
        <v>153.66</v>
      </c>
    </row>
    <row r="88" spans="1:1" x14ac:dyDescent="0.35">
      <c r="A88">
        <v>174.58</v>
      </c>
    </row>
    <row r="89" spans="1:1" x14ac:dyDescent="0.35">
      <c r="A89">
        <v>117.32</v>
      </c>
    </row>
    <row r="90" spans="1:1" x14ac:dyDescent="0.35">
      <c r="A90">
        <v>152.66</v>
      </c>
    </row>
    <row r="91" spans="1:1" x14ac:dyDescent="0.35">
      <c r="A91">
        <v>115.66</v>
      </c>
    </row>
    <row r="92" spans="1:1" x14ac:dyDescent="0.35">
      <c r="A92">
        <v>117.52</v>
      </c>
    </row>
    <row r="93" spans="1:1" x14ac:dyDescent="0.35">
      <c r="A93">
        <v>112.52</v>
      </c>
    </row>
    <row r="94" spans="1:1" x14ac:dyDescent="0.35">
      <c r="A94">
        <v>119.12</v>
      </c>
    </row>
    <row r="95" spans="1:1" x14ac:dyDescent="0.35">
      <c r="A95">
        <v>149.06</v>
      </c>
    </row>
    <row r="96" spans="1:1" x14ac:dyDescent="0.35">
      <c r="A96">
        <v>137.78</v>
      </c>
    </row>
    <row r="97" spans="1:1" x14ac:dyDescent="0.35">
      <c r="A97">
        <v>134.28</v>
      </c>
    </row>
    <row r="98" spans="1:1" x14ac:dyDescent="0.35">
      <c r="A98">
        <v>104.36</v>
      </c>
    </row>
    <row r="99" spans="1:1" x14ac:dyDescent="0.35">
      <c r="A99">
        <v>81.22</v>
      </c>
    </row>
    <row r="100" spans="1:1" x14ac:dyDescent="0.35">
      <c r="A100">
        <v>127.42</v>
      </c>
    </row>
    <row r="101" spans="1:1" x14ac:dyDescent="0.35">
      <c r="A101">
        <v>161.69999999999999</v>
      </c>
    </row>
    <row r="102" spans="1:1" x14ac:dyDescent="0.35">
      <c r="A102">
        <v>124.44</v>
      </c>
    </row>
    <row r="103" spans="1:1" x14ac:dyDescent="0.35">
      <c r="A103">
        <v>136.74</v>
      </c>
    </row>
    <row r="104" spans="1:1" x14ac:dyDescent="0.35">
      <c r="A104">
        <v>149.5</v>
      </c>
    </row>
    <row r="105" spans="1:1" x14ac:dyDescent="0.35">
      <c r="A105">
        <v>157.30000000000001</v>
      </c>
    </row>
    <row r="106" spans="1:1" x14ac:dyDescent="0.35">
      <c r="A106">
        <v>172.92</v>
      </c>
    </row>
    <row r="107" spans="1:1" x14ac:dyDescent="0.35">
      <c r="A107">
        <v>99.38</v>
      </c>
    </row>
    <row r="108" spans="1:1" x14ac:dyDescent="0.35">
      <c r="A108">
        <v>121.4</v>
      </c>
    </row>
    <row r="109" spans="1:1" x14ac:dyDescent="0.35">
      <c r="A109">
        <v>144.44</v>
      </c>
    </row>
    <row r="110" spans="1:1" x14ac:dyDescent="0.35">
      <c r="A110">
        <v>109.32</v>
      </c>
    </row>
    <row r="111" spans="1:1" x14ac:dyDescent="0.35">
      <c r="A111">
        <v>108.84</v>
      </c>
    </row>
    <row r="112" spans="1:1" x14ac:dyDescent="0.35">
      <c r="A112">
        <v>137.19999999999999</v>
      </c>
    </row>
    <row r="113" spans="1:1" x14ac:dyDescent="0.35">
      <c r="A113">
        <v>129.5</v>
      </c>
    </row>
    <row r="114" spans="1:1" x14ac:dyDescent="0.35">
      <c r="A114">
        <v>106.18</v>
      </c>
    </row>
    <row r="115" spans="1:1" x14ac:dyDescent="0.35">
      <c r="A115">
        <v>140</v>
      </c>
    </row>
    <row r="116" spans="1:1" x14ac:dyDescent="0.35">
      <c r="A116">
        <v>171.8</v>
      </c>
    </row>
    <row r="117" spans="1:1" x14ac:dyDescent="0.35">
      <c r="A117">
        <v>90.26</v>
      </c>
    </row>
    <row r="118" spans="1:1" x14ac:dyDescent="0.35">
      <c r="A118">
        <v>161.6</v>
      </c>
    </row>
    <row r="119" spans="1:1" x14ac:dyDescent="0.35">
      <c r="A119">
        <v>120.12</v>
      </c>
    </row>
    <row r="120" spans="1:1" x14ac:dyDescent="0.35">
      <c r="A120">
        <v>95.64</v>
      </c>
    </row>
    <row r="121" spans="1:1" x14ac:dyDescent="0.35">
      <c r="A121">
        <v>176.2</v>
      </c>
    </row>
    <row r="122" spans="1:1" x14ac:dyDescent="0.35">
      <c r="A122">
        <v>82</v>
      </c>
    </row>
    <row r="123" spans="1:1" x14ac:dyDescent="0.35">
      <c r="A123">
        <v>105.02</v>
      </c>
    </row>
    <row r="124" spans="1:1" x14ac:dyDescent="0.35">
      <c r="A124">
        <v>129.6</v>
      </c>
    </row>
    <row r="125" spans="1:1" x14ac:dyDescent="0.35">
      <c r="A125">
        <v>147.72</v>
      </c>
    </row>
    <row r="126" spans="1:1" x14ac:dyDescent="0.35">
      <c r="A126">
        <v>128.78</v>
      </c>
    </row>
    <row r="127" spans="1:1" x14ac:dyDescent="0.35">
      <c r="A127">
        <v>167.18</v>
      </c>
    </row>
    <row r="128" spans="1:1" x14ac:dyDescent="0.35">
      <c r="A128">
        <v>126.54</v>
      </c>
    </row>
    <row r="129" spans="1:1" x14ac:dyDescent="0.35">
      <c r="A129">
        <v>82.52</v>
      </c>
    </row>
    <row r="130" spans="1:1" x14ac:dyDescent="0.35">
      <c r="A130">
        <v>115.44</v>
      </c>
    </row>
    <row r="131" spans="1:1" x14ac:dyDescent="0.35">
      <c r="A131">
        <v>114.94</v>
      </c>
    </row>
    <row r="132" spans="1:1" x14ac:dyDescent="0.35">
      <c r="A132">
        <v>126.46</v>
      </c>
    </row>
    <row r="133" spans="1:1" x14ac:dyDescent="0.35">
      <c r="A133">
        <v>122.04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Stats</vt:lpstr>
      <vt:lpstr>Schedule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Castagliuolo</dc:creator>
  <cp:lastModifiedBy>Franco Castagliuolo</cp:lastModifiedBy>
  <dcterms:created xsi:type="dcterms:W3CDTF">2025-10-21T18:15:47Z</dcterms:created>
  <dcterms:modified xsi:type="dcterms:W3CDTF">2025-12-02T20:20:55Z</dcterms:modified>
</cp:coreProperties>
</file>